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xperiments\2025-12-12\"/>
    </mc:Choice>
  </mc:AlternateContent>
  <bookViews>
    <workbookView xWindow="0" yWindow="0" windowWidth="41280" windowHeight="13536"/>
  </bookViews>
  <sheets>
    <sheet name="Лист1" sheetId="1" r:id="rId1"/>
    <sheet name="Лист2" sheetId="2" r:id="rId2"/>
    <sheet name="Лист4" sheetId="4" r:id="rId3"/>
    <sheet name="Лист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4" l="1"/>
  <c r="D21" i="4"/>
  <c r="D22" i="4"/>
  <c r="D23" i="4"/>
  <c r="D20" i="4"/>
  <c r="D16" i="4"/>
  <c r="D15" i="4"/>
  <c r="D14" i="4"/>
  <c r="D13" i="4"/>
  <c r="D11" i="4"/>
  <c r="D10" i="4"/>
  <c r="D9" i="4"/>
  <c r="D8" i="4"/>
  <c r="D7" i="4"/>
  <c r="D5" i="4"/>
  <c r="D4" i="4"/>
  <c r="D3" i="4"/>
  <c r="D2" i="4"/>
  <c r="B3" i="3"/>
  <c r="B2" i="3"/>
  <c r="B4" i="3" s="1"/>
  <c r="D3" i="2"/>
  <c r="D4" i="2"/>
  <c r="D5" i="2"/>
  <c r="D6" i="2"/>
  <c r="D7" i="2"/>
  <c r="D2" i="2"/>
  <c r="B5" i="3" l="1"/>
  <c r="B2" i="1"/>
  <c r="B3" i="1" s="1"/>
  <c r="E3" i="1" s="1"/>
  <c r="C3" i="1"/>
  <c r="B1" i="1"/>
</calcChain>
</file>

<file path=xl/sharedStrings.xml><?xml version="1.0" encoding="utf-8"?>
<sst xmlns="http://schemas.openxmlformats.org/spreadsheetml/2006/main" count="20" uniqueCount="16">
  <si>
    <t>k</t>
  </si>
  <si>
    <t>a</t>
  </si>
  <si>
    <t>g</t>
  </si>
  <si>
    <t>tau</t>
  </si>
  <si>
    <t>start</t>
  </si>
  <si>
    <t>end</t>
  </si>
  <si>
    <t>ampl</t>
  </si>
  <si>
    <t>offset</t>
  </si>
  <si>
    <t>max</t>
  </si>
  <si>
    <t>min</t>
  </si>
  <si>
    <t>c1</t>
  </si>
  <si>
    <t>c2</t>
  </si>
  <si>
    <t>data for 5 ms</t>
  </si>
  <si>
    <t>20 (22)</t>
  </si>
  <si>
    <t>contrast, %</t>
  </si>
  <si>
    <t>tau,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</si>
</sst>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Лист1!$A$9:$A$12</c:f>
              <c:numCache>
                <c:formatCode>General</c:formatCode>
                <c:ptCount val="4"/>
                <c:pt idx="0">
                  <c:v>6</c:v>
                </c:pt>
                <c:pt idx="1">
                  <c:v>9</c:v>
                </c:pt>
                <c:pt idx="2">
                  <c:v>17</c:v>
                </c:pt>
                <c:pt idx="3">
                  <c:v>30</c:v>
                </c:pt>
              </c:numCache>
            </c:numRef>
          </c:xVal>
          <c:yVal>
            <c:numRef>
              <c:f>Лист1!$B$9:$B$12</c:f>
              <c:numCache>
                <c:formatCode>General</c:formatCode>
                <c:ptCount val="4"/>
                <c:pt idx="0">
                  <c:v>22</c:v>
                </c:pt>
                <c:pt idx="1">
                  <c:v>17</c:v>
                </c:pt>
                <c:pt idx="2">
                  <c:v>15</c:v>
                </c:pt>
                <c:pt idx="3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DB-40BA-A719-01F037042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787728"/>
        <c:axId val="472329280"/>
      </c:scatterChart>
      <c:valAx>
        <c:axId val="47178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2329280"/>
        <c:crosses val="autoZero"/>
        <c:crossBetween val="midCat"/>
      </c:valAx>
      <c:valAx>
        <c:axId val="472329280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178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Лист2!$A$2:$A$6</c:f>
              <c:numCache>
                <c:formatCode>General</c:formatCode>
                <c:ptCount val="5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</c:numCache>
            </c:numRef>
          </c:xVal>
          <c:yVal>
            <c:numRef>
              <c:f>Лист2!$D$2:$D$6</c:f>
              <c:numCache>
                <c:formatCode>General</c:formatCode>
                <c:ptCount val="5"/>
                <c:pt idx="0">
                  <c:v>8570</c:v>
                </c:pt>
                <c:pt idx="1">
                  <c:v>9660</c:v>
                </c:pt>
                <c:pt idx="2">
                  <c:v>10340</c:v>
                </c:pt>
                <c:pt idx="3">
                  <c:v>10300</c:v>
                </c:pt>
                <c:pt idx="4">
                  <c:v>9400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CE-48F5-99EE-73B9D56E5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230576"/>
        <c:axId val="420228496"/>
      </c:scatterChart>
      <c:valAx>
        <c:axId val="42023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0228496"/>
        <c:crosses val="autoZero"/>
        <c:crossBetween val="midCat"/>
      </c:valAx>
      <c:valAx>
        <c:axId val="4202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023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Лист4!$A$2:$A$6</c:f>
              <c:numCache>
                <c:formatCode>General</c:formatCode>
                <c:ptCount val="5"/>
                <c:pt idx="0">
                  <c:v>16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</c:numCache>
            </c:numRef>
          </c:xVal>
          <c:yVal>
            <c:numRef>
              <c:f>Лист4!$D$2:$D$6</c:f>
              <c:numCache>
                <c:formatCode>General</c:formatCode>
                <c:ptCount val="5"/>
                <c:pt idx="0">
                  <c:v>2050</c:v>
                </c:pt>
                <c:pt idx="1">
                  <c:v>2060</c:v>
                </c:pt>
                <c:pt idx="2">
                  <c:v>1900</c:v>
                </c:pt>
                <c:pt idx="3">
                  <c:v>1660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E9-485C-B147-BD2B661AC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230576"/>
        <c:axId val="420228496"/>
      </c:scatterChart>
      <c:valAx>
        <c:axId val="42023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0228496"/>
        <c:crosses val="autoZero"/>
        <c:crossBetween val="midCat"/>
      </c:valAx>
      <c:valAx>
        <c:axId val="4202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023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1</xdr:row>
      <xdr:rowOff>152400</xdr:rowOff>
    </xdr:from>
    <xdr:to>
      <xdr:col>11</xdr:col>
      <xdr:colOff>586740</xdr:colOff>
      <xdr:row>16</xdr:row>
      <xdr:rowOff>152400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1</xdr:row>
      <xdr:rowOff>152400</xdr:rowOff>
    </xdr:from>
    <xdr:to>
      <xdr:col>12</xdr:col>
      <xdr:colOff>190500</xdr:colOff>
      <xdr:row>16</xdr:row>
      <xdr:rowOff>152400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1</xdr:row>
      <xdr:rowOff>152400</xdr:rowOff>
    </xdr:from>
    <xdr:to>
      <xdr:col>12</xdr:col>
      <xdr:colOff>190500</xdr:colOff>
      <xdr:row>16</xdr:row>
      <xdr:rowOff>152400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A8" sqref="A8"/>
    </sheetView>
  </sheetViews>
  <sheetFormatPr defaultRowHeight="14.4" x14ac:dyDescent="0.3"/>
  <cols>
    <col min="2" max="2" width="12" bestFit="1" customWidth="1"/>
  </cols>
  <sheetData>
    <row r="1" spans="1:5" x14ac:dyDescent="0.3">
      <c r="A1" t="s">
        <v>0</v>
      </c>
      <c r="B1">
        <f>2*3.14*2/0.00000078024</f>
        <v>16097610.991489798</v>
      </c>
    </row>
    <row r="2" spans="1:5" x14ac:dyDescent="0.3">
      <c r="A2" t="s">
        <v>1</v>
      </c>
      <c r="B2">
        <f>25500900</f>
        <v>25500900</v>
      </c>
      <c r="C2">
        <v>25500000</v>
      </c>
    </row>
    <row r="3" spans="1:5" x14ac:dyDescent="0.3">
      <c r="A3" t="s">
        <v>2</v>
      </c>
      <c r="B3">
        <f>2*3.14*B2/$B$1</f>
        <v>9.9484111080000002</v>
      </c>
      <c r="C3">
        <f>2*3.14*C2/$B$1</f>
        <v>9.9480599999999999</v>
      </c>
      <c r="E3">
        <f>B3-C3</f>
        <v>3.5110800000026643E-4</v>
      </c>
    </row>
    <row r="6" spans="1:5" x14ac:dyDescent="0.3">
      <c r="A6" s="1" t="s">
        <v>12</v>
      </c>
      <c r="B6" s="1"/>
    </row>
    <row r="7" spans="1:5" x14ac:dyDescent="0.3">
      <c r="A7" t="s">
        <v>15</v>
      </c>
      <c r="B7" t="s">
        <v>14</v>
      </c>
    </row>
    <row r="8" spans="1:5" x14ac:dyDescent="0.3">
      <c r="A8">
        <v>4</v>
      </c>
      <c r="B8" t="s">
        <v>13</v>
      </c>
    </row>
    <row r="9" spans="1:5" x14ac:dyDescent="0.3">
      <c r="A9">
        <v>6</v>
      </c>
      <c r="B9">
        <v>22</v>
      </c>
    </row>
    <row r="10" spans="1:5" x14ac:dyDescent="0.3">
      <c r="A10">
        <v>9</v>
      </c>
      <c r="B10">
        <v>17</v>
      </c>
    </row>
    <row r="11" spans="1:5" x14ac:dyDescent="0.3">
      <c r="A11">
        <v>17</v>
      </c>
      <c r="B11">
        <v>15</v>
      </c>
    </row>
    <row r="12" spans="1:5" x14ac:dyDescent="0.3">
      <c r="A12">
        <v>30</v>
      </c>
      <c r="B12">
        <v>13</v>
      </c>
    </row>
  </sheetData>
  <mergeCells count="1">
    <mergeCell ref="A6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12" sqref="A1:XFD1048576"/>
    </sheetView>
  </sheetViews>
  <sheetFormatPr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>
        <v>16</v>
      </c>
      <c r="B2">
        <v>3640</v>
      </c>
      <c r="C2">
        <v>12210</v>
      </c>
      <c r="D2">
        <f>C2-B2</f>
        <v>8570</v>
      </c>
    </row>
    <row r="3" spans="1:4" x14ac:dyDescent="0.3">
      <c r="A3">
        <v>14</v>
      </c>
      <c r="B3">
        <v>3640</v>
      </c>
      <c r="C3">
        <v>13300</v>
      </c>
      <c r="D3">
        <f t="shared" ref="D3:D7" si="0">C3-B3</f>
        <v>9660</v>
      </c>
    </row>
    <row r="4" spans="1:4" x14ac:dyDescent="0.3">
      <c r="A4">
        <v>12</v>
      </c>
      <c r="B4">
        <v>3560</v>
      </c>
      <c r="C4">
        <v>13900</v>
      </c>
      <c r="D4">
        <f t="shared" si="0"/>
        <v>10340</v>
      </c>
    </row>
    <row r="5" spans="1:4" x14ac:dyDescent="0.3">
      <c r="A5">
        <v>10</v>
      </c>
      <c r="B5">
        <v>3500</v>
      </c>
      <c r="C5">
        <v>13800</v>
      </c>
      <c r="D5">
        <f t="shared" si="0"/>
        <v>10300</v>
      </c>
    </row>
    <row r="6" spans="1:4" x14ac:dyDescent="0.3">
      <c r="A6">
        <v>8</v>
      </c>
      <c r="B6">
        <v>3400</v>
      </c>
      <c r="C6">
        <v>12800</v>
      </c>
      <c r="D6">
        <f t="shared" si="0"/>
        <v>9400</v>
      </c>
    </row>
    <row r="7" spans="1:4" x14ac:dyDescent="0.3">
      <c r="D7">
        <f t="shared" si="0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opLeftCell="A13" workbookViewId="0">
      <selection activeCell="A25" sqref="A25"/>
    </sheetView>
  </sheetViews>
  <sheetFormatPr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>
        <v>16</v>
      </c>
      <c r="B2">
        <v>2580</v>
      </c>
      <c r="C2">
        <v>4630</v>
      </c>
      <c r="D2">
        <f>C2-B2</f>
        <v>2050</v>
      </c>
    </row>
    <row r="3" spans="1:4" x14ac:dyDescent="0.3">
      <c r="A3">
        <v>18</v>
      </c>
      <c r="B3">
        <v>2600</v>
      </c>
      <c r="C3">
        <v>4660</v>
      </c>
      <c r="D3">
        <f t="shared" ref="D3:D7" si="0">C3-B3</f>
        <v>2060</v>
      </c>
    </row>
    <row r="4" spans="1:4" x14ac:dyDescent="0.3">
      <c r="A4">
        <v>20</v>
      </c>
      <c r="B4">
        <v>2600</v>
      </c>
      <c r="C4">
        <v>4500</v>
      </c>
      <c r="D4">
        <f t="shared" si="0"/>
        <v>1900</v>
      </c>
    </row>
    <row r="5" spans="1:4" x14ac:dyDescent="0.3">
      <c r="A5">
        <v>22</v>
      </c>
      <c r="B5">
        <v>2600</v>
      </c>
      <c r="C5">
        <v>4260</v>
      </c>
      <c r="D5">
        <f t="shared" si="0"/>
        <v>1660</v>
      </c>
    </row>
    <row r="7" spans="1:4" x14ac:dyDescent="0.3">
      <c r="A7">
        <v>20</v>
      </c>
      <c r="B7">
        <v>2580</v>
      </c>
      <c r="C7">
        <v>4070</v>
      </c>
      <c r="D7">
        <f>C7-B7</f>
        <v>1490</v>
      </c>
    </row>
    <row r="8" spans="1:4" x14ac:dyDescent="0.3">
      <c r="A8">
        <v>22</v>
      </c>
      <c r="B8">
        <v>2560</v>
      </c>
      <c r="C8">
        <v>4090</v>
      </c>
      <c r="D8">
        <f>C8-B8</f>
        <v>1530</v>
      </c>
    </row>
    <row r="9" spans="1:4" x14ac:dyDescent="0.3">
      <c r="A9">
        <v>24</v>
      </c>
      <c r="B9">
        <v>2570</v>
      </c>
      <c r="C9">
        <v>4050</v>
      </c>
      <c r="D9">
        <f>C9-B9</f>
        <v>1480</v>
      </c>
    </row>
    <row r="10" spans="1:4" x14ac:dyDescent="0.3">
      <c r="A10">
        <v>26</v>
      </c>
      <c r="B10">
        <v>2590</v>
      </c>
      <c r="C10">
        <v>4020</v>
      </c>
      <c r="D10">
        <f>C10-B10</f>
        <v>1430</v>
      </c>
    </row>
    <row r="11" spans="1:4" x14ac:dyDescent="0.3">
      <c r="A11">
        <v>28</v>
      </c>
      <c r="B11">
        <v>2570</v>
      </c>
      <c r="C11">
        <v>3950</v>
      </c>
      <c r="D11">
        <f>C11-B11</f>
        <v>1380</v>
      </c>
    </row>
    <row r="13" spans="1:4" x14ac:dyDescent="0.3">
      <c r="A13">
        <v>26</v>
      </c>
      <c r="B13">
        <v>2570</v>
      </c>
      <c r="C13">
        <v>3530</v>
      </c>
      <c r="D13">
        <f>C13-B13</f>
        <v>960</v>
      </c>
    </row>
    <row r="14" spans="1:4" x14ac:dyDescent="0.3">
      <c r="A14">
        <v>30</v>
      </c>
      <c r="B14">
        <v>2580</v>
      </c>
      <c r="C14">
        <v>3650</v>
      </c>
      <c r="D14">
        <f>C14-B14</f>
        <v>1070</v>
      </c>
    </row>
    <row r="15" spans="1:4" x14ac:dyDescent="0.3">
      <c r="A15">
        <v>34</v>
      </c>
      <c r="B15">
        <v>2580</v>
      </c>
      <c r="C15">
        <v>3640</v>
      </c>
      <c r="D15">
        <f>C15-B15</f>
        <v>1060</v>
      </c>
    </row>
    <row r="16" spans="1:4" x14ac:dyDescent="0.3">
      <c r="A16">
        <v>38</v>
      </c>
      <c r="B16">
        <v>2580</v>
      </c>
      <c r="C16">
        <v>3607</v>
      </c>
      <c r="D16">
        <f>C16-B16</f>
        <v>1027</v>
      </c>
    </row>
    <row r="20" spans="1:4" x14ac:dyDescent="0.3">
      <c r="A20">
        <v>10</v>
      </c>
      <c r="B20">
        <v>2670</v>
      </c>
      <c r="C20">
        <v>7640</v>
      </c>
      <c r="D20">
        <f>C20-B20</f>
        <v>4970</v>
      </c>
    </row>
    <row r="21" spans="1:4" x14ac:dyDescent="0.3">
      <c r="A21">
        <v>9</v>
      </c>
      <c r="B21">
        <v>2660</v>
      </c>
      <c r="C21">
        <v>7910</v>
      </c>
      <c r="D21">
        <f t="shared" ref="D21:D24" si="1">C21-B21</f>
        <v>5250</v>
      </c>
    </row>
    <row r="22" spans="1:4" x14ac:dyDescent="0.3">
      <c r="A22">
        <v>8</v>
      </c>
      <c r="B22">
        <v>2730</v>
      </c>
      <c r="C22">
        <v>8080</v>
      </c>
      <c r="D22">
        <f t="shared" si="1"/>
        <v>5350</v>
      </c>
    </row>
    <row r="23" spans="1:4" x14ac:dyDescent="0.3">
      <c r="A23">
        <v>7</v>
      </c>
      <c r="B23">
        <v>2700</v>
      </c>
      <c r="C23">
        <v>8100</v>
      </c>
      <c r="D23">
        <f t="shared" si="1"/>
        <v>5400</v>
      </c>
    </row>
    <row r="24" spans="1:4" x14ac:dyDescent="0.3">
      <c r="A24">
        <v>6</v>
      </c>
      <c r="B24">
        <v>2690</v>
      </c>
      <c r="C24">
        <v>7870</v>
      </c>
      <c r="D24">
        <f t="shared" si="1"/>
        <v>5180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7</v>
      </c>
      <c r="B1">
        <v>0.1</v>
      </c>
    </row>
    <row r="2" spans="1:2" x14ac:dyDescent="0.3">
      <c r="A2" t="s">
        <v>8</v>
      </c>
      <c r="B2">
        <f>B1+0.05</f>
        <v>0.15000000000000002</v>
      </c>
    </row>
    <row r="3" spans="1:2" x14ac:dyDescent="0.3">
      <c r="A3" t="s">
        <v>9</v>
      </c>
      <c r="B3">
        <f>B1-0.05</f>
        <v>0.05</v>
      </c>
    </row>
    <row r="4" spans="1:2" x14ac:dyDescent="0.3">
      <c r="A4" t="s">
        <v>10</v>
      </c>
      <c r="B4">
        <f>(B2-B3)/(B2+B3)</f>
        <v>0.50000000000000011</v>
      </c>
    </row>
    <row r="5" spans="1:2" x14ac:dyDescent="0.3">
      <c r="A5" t="s">
        <v>11</v>
      </c>
      <c r="B5">
        <f>B2-B3</f>
        <v>0.10000000000000002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Лист4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Капуста Дмитрий Николаевич</dc:creator>
  <cp:lastModifiedBy>Капуста Дмитрий Николаевич</cp:lastModifiedBy>
  <dcterms:created xsi:type="dcterms:W3CDTF">2025-12-10T13:09:22Z</dcterms:created>
  <dcterms:modified xsi:type="dcterms:W3CDTF">2025-12-12T12:54:47Z</dcterms:modified>
</cp:coreProperties>
</file>